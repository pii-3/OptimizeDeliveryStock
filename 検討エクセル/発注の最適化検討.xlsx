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I" sheetId="1" state="visible" r:id="rId3"/>
    <sheet name="出荷可能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<sst xmlns="http://schemas.openxmlformats.org/spreadsheetml/2006/main" count="86" uniqueCount="37">
  <si>
    <t xml:space="preserve">Product1</t>
  </si>
  <si>
    <t xml:space="preserve">Product2</t>
  </si>
  <si>
    <t xml:space="preserve">Product3</t>
  </si>
  <si>
    <t xml:space="preserve">配送費_車両(C^l)</t>
  </si>
  <si>
    <t xml:space="preserve">円/車両</t>
  </si>
  <si>
    <t xml:space="preserve">ケース単価</t>
  </si>
  <si>
    <t xml:space="preserve">円/</t>
  </si>
  <si>
    <t xml:space="preserve">パレット当たりケース</t>
  </si>
  <si>
    <t xml:space="preserve">CS</t>
  </si>
  <si>
    <t xml:space="preserve">車両当たりパレット</t>
  </si>
  <si>
    <t xml:space="preserve">PL</t>
  </si>
  <si>
    <t xml:space="preserve">車両当たりケース(K_p)</t>
  </si>
  <si>
    <t xml:space="preserve">在庫コスト(h_p)</t>
  </si>
  <si>
    <t xml:space="preserve">円/日・CS</t>
  </si>
  <si>
    <t xml:space="preserve">配送費_路線便(c_p^s)</t>
  </si>
  <si>
    <t xml:space="preserve">円/日</t>
  </si>
  <si>
    <t xml:space="preserve">配送費率（車両）</t>
  </si>
  <si>
    <t xml:space="preserve">配送比率（ケース）</t>
  </si>
  <si>
    <r>
      <rPr>
        <sz val="11"/>
        <color rgb="FF000000"/>
        <rFont val="Yu Gothic"/>
        <family val="2"/>
        <charset val="128"/>
      </rPr>
      <t xml:space="preserve">在庫費率(回転15日の場合</t>
    </r>
    <r>
      <rPr>
        <sz val="11"/>
        <color theme="1"/>
        <rFont val="Yu Gothic"/>
        <family val="2"/>
        <charset val="128"/>
      </rPr>
      <t xml:space="preserve">)</t>
    </r>
  </si>
  <si>
    <t xml:space="preserve">合計</t>
  </si>
  <si>
    <t xml:space="preserve">前日末在庫(I_p,0)</t>
  </si>
  <si>
    <t xml:space="preserve">出荷予測(s_p,d)</t>
  </si>
  <si>
    <t xml:space="preserve">入荷予定(bar_x_p,d)</t>
  </si>
  <si>
    <t xml:space="preserve">期末在庫(CS)</t>
  </si>
  <si>
    <t xml:space="preserve">トラック台数</t>
  </si>
  <si>
    <t xml:space="preserve">入荷予定(トラック)</t>
  </si>
  <si>
    <t xml:space="preserve">入荷予定(ケース)</t>
  </si>
  <si>
    <t xml:space="preserve">委託先</t>
  </si>
  <si>
    <t xml:space="preserve">初期在庫</t>
  </si>
  <si>
    <t xml:space="preserve">生産予定</t>
  </si>
  <si>
    <t xml:space="preserve">出荷可能数</t>
  </si>
  <si>
    <t xml:space="preserve">DC1</t>
  </si>
  <si>
    <t xml:space="preserve">入荷予定</t>
  </si>
  <si>
    <t xml:space="preserve">委託先出荷予定</t>
  </si>
  <si>
    <t xml:space="preserve">DC2</t>
  </si>
  <si>
    <t xml:space="preserve">出荷予定累積</t>
  </si>
  <si>
    <t xml:space="preserve">DC1の出荷可能数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</si>
</sst>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#"/>
    <numFmt numFmtId="167" formatCode="0.0%"/>
    <numFmt numFmtId="168" formatCode="m\月d\日"/>
  </numFmts>
  <fonts count="5">
    <font>
      <sz val="11"/>
      <color theme="1"/>
      <name val="Yu Gothic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DDE8CB"/>
        <bgColor rgb="FFFFFFCC"/>
      </patternFill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8.41015625" defaultRowHeight="15" customHeight="true" zeroHeight="false" outlineLevelRow="0" outlineLevelCol="0"/>
  <cols>
    <col collapsed="false" customWidth="true" hidden="false" outlineLevel="0" max="1" min="1" style="1" width="19.36"/>
    <col collapsed="false" customWidth="true" hidden="false" outlineLevel="0" max="2" min="2" style="0" width="12.44"/>
    <col collapsed="false" customWidth="true" hidden="false" outlineLevel="0" max="3" min="3" style="0" width="10.87"/>
    <col collapsed="false" customWidth="true" hidden="false" outlineLevel="0" max="4" min="4" style="0" width="19.53"/>
    <col collapsed="false" customWidth="true" hidden="false" outlineLevel="0" max="8" min="8" style="0" width="13.1"/>
    <col collapsed="false" customWidth="false" hidden="false" outlineLevel="0" max="17" min="17" style="2" width="8.41"/>
  </cols>
  <sheetData>
    <row r="1" customFormat="false" ht="15" hidden="false" customHeight="true" outlineLevel="0" collapsed="false">
      <c r="A1" s="0"/>
      <c r="D1" s="1" t="s">
        <v>0</v>
      </c>
      <c r="H1" s="1" t="s">
        <v>1</v>
      </c>
      <c r="L1" s="1" t="s">
        <v>2</v>
      </c>
    </row>
    <row r="2" customFormat="false" ht="14" hidden="false" customHeight="false" outlineLevel="0" collapsed="false">
      <c r="A2" s="3" t="s">
        <v>3</v>
      </c>
      <c r="B2" s="4" t="n">
        <v>50000</v>
      </c>
      <c r="C2" s="0" t="s">
        <v>4</v>
      </c>
      <c r="D2" s="5" t="s">
        <v>5</v>
      </c>
      <c r="E2" s="6" t="n">
        <v>2000</v>
      </c>
      <c r="F2" s="0" t="s">
        <v>6</v>
      </c>
      <c r="H2" s="5" t="s">
        <v>5</v>
      </c>
      <c r="I2" s="6" t="n">
        <v>2500</v>
      </c>
      <c r="J2" s="0" t="s">
        <v>6</v>
      </c>
      <c r="L2" s="5" t="s">
        <v>5</v>
      </c>
      <c r="M2" s="6" t="n">
        <v>4000</v>
      </c>
      <c r="N2" s="0" t="s">
        <v>6</v>
      </c>
    </row>
    <row r="3" customFormat="false" ht="13.8" hidden="false" customHeight="false" outlineLevel="0" collapsed="false">
      <c r="A3" s="0"/>
      <c r="D3" s="5" t="s">
        <v>7</v>
      </c>
      <c r="E3" s="6" t="n">
        <v>60</v>
      </c>
      <c r="F3" s="0" t="s">
        <v>8</v>
      </c>
      <c r="H3" s="5" t="s">
        <v>7</v>
      </c>
      <c r="I3" s="6" t="n">
        <v>72</v>
      </c>
      <c r="J3" s="0" t="s">
        <v>8</v>
      </c>
      <c r="L3" s="5" t="s">
        <v>7</v>
      </c>
      <c r="M3" s="6" t="n">
        <v>36</v>
      </c>
      <c r="N3" s="0" t="s">
        <v>8</v>
      </c>
    </row>
    <row r="4" customFormat="false" ht="13.8" hidden="false" customHeight="false" outlineLevel="0" collapsed="false">
      <c r="A4" s="0"/>
      <c r="D4" s="5" t="s">
        <v>9</v>
      </c>
      <c r="E4" s="6" t="n">
        <v>16</v>
      </c>
      <c r="F4" s="0" t="s">
        <v>10</v>
      </c>
      <c r="H4" s="5" t="s">
        <v>9</v>
      </c>
      <c r="I4" s="6" t="n">
        <v>16</v>
      </c>
      <c r="J4" s="0" t="s">
        <v>10</v>
      </c>
      <c r="L4" s="5" t="s">
        <v>9</v>
      </c>
      <c r="M4" s="6" t="n">
        <v>16</v>
      </c>
      <c r="N4" s="0" t="s">
        <v>10</v>
      </c>
    </row>
    <row r="5" customFormat="false" ht="14" hidden="false" customHeight="false" outlineLevel="0" collapsed="false">
      <c r="A5" s="0"/>
      <c r="D5" s="3" t="s">
        <v>11</v>
      </c>
      <c r="E5" s="4" t="n">
        <f aca="false">E3*E4</f>
        <v>960</v>
      </c>
      <c r="F5" s="0" t="s">
        <v>8</v>
      </c>
      <c r="H5" s="3" t="s">
        <v>11</v>
      </c>
      <c r="I5" s="4" t="n">
        <f aca="false">I3*I4</f>
        <v>1152</v>
      </c>
      <c r="J5" s="0" t="s">
        <v>8</v>
      </c>
      <c r="L5" s="3" t="s">
        <v>11</v>
      </c>
      <c r="M5" s="4" t="n">
        <f aca="false">M3*M4</f>
        <v>576</v>
      </c>
      <c r="N5" s="0" t="s">
        <v>8</v>
      </c>
    </row>
    <row r="6" customFormat="false" ht="14" hidden="false" customHeight="false" outlineLevel="0" collapsed="false">
      <c r="A6" s="0"/>
      <c r="D6" s="7" t="s">
        <v>12</v>
      </c>
      <c r="E6" s="8" t="n">
        <v>5</v>
      </c>
      <c r="F6" s="0" t="s">
        <v>13</v>
      </c>
      <c r="H6" s="7" t="s">
        <v>12</v>
      </c>
      <c r="I6" s="8" t="n">
        <v>5</v>
      </c>
      <c r="J6" s="0" t="s">
        <v>13</v>
      </c>
      <c r="L6" s="7" t="s">
        <v>12</v>
      </c>
      <c r="M6" s="8" t="n">
        <v>5</v>
      </c>
      <c r="N6" s="0" t="s">
        <v>13</v>
      </c>
    </row>
    <row r="7" customFormat="false" ht="14" hidden="false" customHeight="false" outlineLevel="0" collapsed="false">
      <c r="A7" s="0"/>
      <c r="D7" s="7" t="s">
        <v>14</v>
      </c>
      <c r="E7" s="8" t="n">
        <v>150</v>
      </c>
      <c r="F7" s="0" t="s">
        <v>15</v>
      </c>
      <c r="H7" s="7" t="s">
        <v>14</v>
      </c>
      <c r="I7" s="8" t="n">
        <v>120</v>
      </c>
      <c r="J7" s="0" t="s">
        <v>15</v>
      </c>
      <c r="L7" s="7" t="s">
        <v>14</v>
      </c>
      <c r="M7" s="8" t="n">
        <v>200</v>
      </c>
      <c r="N7" s="0" t="s">
        <v>15</v>
      </c>
    </row>
    <row r="8" customFormat="false" ht="13.8" hidden="false" customHeight="false" outlineLevel="0" collapsed="false">
      <c r="A8" s="0"/>
      <c r="D8" s="5" t="s">
        <v>16</v>
      </c>
      <c r="E8" s="9" t="n">
        <f aca="false">$B2/(E2*E5)</f>
        <v>0.0260416666666667</v>
      </c>
      <c r="H8" s="5" t="s">
        <v>16</v>
      </c>
      <c r="I8" s="9" t="n">
        <f aca="false">$B2/(I2*I5)</f>
        <v>0.0173611111111111</v>
      </c>
      <c r="L8" s="5" t="s">
        <v>16</v>
      </c>
      <c r="M8" s="9" t="n">
        <f aca="false">$B2/(M2*M5)</f>
        <v>0.0217013888888889</v>
      </c>
    </row>
    <row r="9" customFormat="false" ht="13.8" hidden="false" customHeight="false" outlineLevel="0" collapsed="false">
      <c r="A9" s="0"/>
      <c r="D9" s="5" t="s">
        <v>17</v>
      </c>
      <c r="E9" s="9" t="n">
        <f aca="false">E7/E2</f>
        <v>0.075</v>
      </c>
      <c r="H9" s="5" t="s">
        <v>17</v>
      </c>
      <c r="I9" s="9" t="n">
        <f aca="false">I7/I2</f>
        <v>0.048</v>
      </c>
      <c r="L9" s="5" t="s">
        <v>17</v>
      </c>
      <c r="M9" s="9" t="n">
        <f aca="false">M7/M2</f>
        <v>0.05</v>
      </c>
    </row>
    <row r="10" customFormat="false" ht="15" hidden="false" customHeight="true" outlineLevel="0" collapsed="false">
      <c r="A10" s="0"/>
      <c r="D10" s="10" t="s">
        <v>18</v>
      </c>
      <c r="E10" s="11" t="n">
        <f aca="false">E6*15/E2</f>
        <v>0.0375</v>
      </c>
      <c r="H10" s="10" t="s">
        <v>18</v>
      </c>
      <c r="I10" s="11" t="n">
        <f aca="false">I6*15/I2</f>
        <v>0.03</v>
      </c>
      <c r="L10" s="10" t="s">
        <v>18</v>
      </c>
      <c r="M10" s="11" t="n">
        <f aca="false">M6*15/M2</f>
        <v>0.01875</v>
      </c>
    </row>
    <row r="11" customFormat="false" ht="15" hidden="false" customHeight="true" outlineLevel="0" collapsed="false">
      <c r="A11" s="12"/>
      <c r="B11" s="13"/>
      <c r="Q11" s="2" t="n">
        <f aca="false">SUM(Q13:Q34)</f>
        <v>212360</v>
      </c>
    </row>
    <row r="12" customFormat="false" ht="15" hidden="false" customHeight="true" outlineLevel="0" collapsed="false">
      <c r="A12" s="14" t="s">
        <v>0</v>
      </c>
      <c r="B12" s="15" t="n">
        <v>46082</v>
      </c>
      <c r="C12" s="16" t="n">
        <v>46083</v>
      </c>
      <c r="D12" s="16" t="n">
        <v>46084</v>
      </c>
      <c r="E12" s="16" t="n">
        <v>46085</v>
      </c>
      <c r="F12" s="16" t="n">
        <v>46086</v>
      </c>
      <c r="G12" s="16" t="n">
        <v>46087</v>
      </c>
      <c r="H12" s="16" t="n">
        <v>46088</v>
      </c>
      <c r="I12" s="16" t="n">
        <v>46089</v>
      </c>
      <c r="J12" s="16" t="n">
        <v>46090</v>
      </c>
      <c r="K12" s="16" t="n">
        <v>46091</v>
      </c>
      <c r="L12" s="16" t="n">
        <v>46092</v>
      </c>
      <c r="M12" s="16" t="n">
        <v>46093</v>
      </c>
      <c r="N12" s="16" t="n">
        <v>46094</v>
      </c>
      <c r="O12" s="16" t="n">
        <v>46095</v>
      </c>
      <c r="P12" s="17" t="s">
        <v>19</v>
      </c>
    </row>
    <row r="13" customFormat="false" ht="15" hidden="false" customHeight="true" outlineLevel="0" collapsed="false">
      <c r="A13" s="3" t="s">
        <v>20</v>
      </c>
      <c r="B13" s="18" t="n">
        <v>120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7"/>
    </row>
    <row r="14" customFormat="false" ht="15" hidden="false" customHeight="true" outlineLevel="0" collapsed="false">
      <c r="A14" s="3" t="s">
        <v>21</v>
      </c>
      <c r="B14" s="7" t="n">
        <v>20</v>
      </c>
      <c r="C14" s="7" t="n">
        <v>20</v>
      </c>
      <c r="D14" s="7" t="n">
        <v>20</v>
      </c>
      <c r="E14" s="7" t="n">
        <v>20</v>
      </c>
      <c r="F14" s="7" t="n">
        <v>20</v>
      </c>
      <c r="G14" s="7" t="n">
        <v>20</v>
      </c>
      <c r="H14" s="7" t="n">
        <v>20</v>
      </c>
      <c r="I14" s="7" t="n">
        <v>20</v>
      </c>
      <c r="J14" s="7" t="n">
        <v>20</v>
      </c>
      <c r="K14" s="7" t="n">
        <v>20</v>
      </c>
      <c r="L14" s="7" t="n">
        <v>20</v>
      </c>
      <c r="M14" s="7" t="n">
        <v>20</v>
      </c>
      <c r="N14" s="7" t="n">
        <v>20</v>
      </c>
      <c r="O14" s="7" t="n">
        <v>20</v>
      </c>
      <c r="P14" s="17" t="n">
        <f aca="false">SUM(C14:O14)</f>
        <v>260</v>
      </c>
    </row>
    <row r="15" customFormat="false" ht="15" hidden="false" customHeight="true" outlineLevel="0" collapsed="false">
      <c r="A15" s="3" t="s">
        <v>22</v>
      </c>
      <c r="B15" s="7"/>
      <c r="C15" s="7"/>
      <c r="D15" s="7"/>
      <c r="E15" s="7" t="n">
        <v>60</v>
      </c>
      <c r="F15" s="7"/>
      <c r="G15" s="7"/>
      <c r="H15" s="7"/>
      <c r="I15" s="7"/>
      <c r="J15" s="7" t="n">
        <v>60</v>
      </c>
      <c r="K15" s="7"/>
      <c r="L15" s="7" t="n">
        <v>60</v>
      </c>
      <c r="M15" s="7"/>
      <c r="N15" s="7" t="n">
        <v>72</v>
      </c>
      <c r="O15" s="7"/>
      <c r="P15" s="17" t="n">
        <f aca="false">SUM(C15:O15)</f>
        <v>252</v>
      </c>
    </row>
    <row r="16" customFormat="false" ht="15" hidden="false" customHeight="true" outlineLevel="0" collapsed="false">
      <c r="A16" s="14" t="s">
        <v>23</v>
      </c>
      <c r="B16" s="19" t="n">
        <f aca="false">B13-B14+B15</f>
        <v>100</v>
      </c>
      <c r="C16" s="10" t="n">
        <f aca="false">B16-C14+C15</f>
        <v>80</v>
      </c>
      <c r="D16" s="10" t="n">
        <f aca="false">C16-D14+D15</f>
        <v>60</v>
      </c>
      <c r="E16" s="10" t="n">
        <f aca="false">D16-E14+E15</f>
        <v>100</v>
      </c>
      <c r="F16" s="10" t="n">
        <f aca="false">E16-F14+F15</f>
        <v>80</v>
      </c>
      <c r="G16" s="10" t="n">
        <f aca="false">F16-G14+G15</f>
        <v>60</v>
      </c>
      <c r="H16" s="10" t="n">
        <f aca="false">G16-H14+H15</f>
        <v>40</v>
      </c>
      <c r="I16" s="10" t="n">
        <f aca="false">H16-I14+I15</f>
        <v>20</v>
      </c>
      <c r="J16" s="10" t="n">
        <f aca="false">I16-J14+J15</f>
        <v>60</v>
      </c>
      <c r="K16" s="10" t="n">
        <f aca="false">J16-K14+K15</f>
        <v>40</v>
      </c>
      <c r="L16" s="10" t="n">
        <f aca="false">K16-L14+L15</f>
        <v>80</v>
      </c>
      <c r="M16" s="10" t="n">
        <f aca="false">L16-M14+M15</f>
        <v>60</v>
      </c>
      <c r="N16" s="10" t="n">
        <f aca="false">M16-N14+N15</f>
        <v>112</v>
      </c>
      <c r="O16" s="10" t="n">
        <f aca="false">N16-O14+O15</f>
        <v>92</v>
      </c>
      <c r="P16" s="17" t="n">
        <f aca="false">SUM(C16:O16)</f>
        <v>884</v>
      </c>
      <c r="Q16" s="2" t="n">
        <f aca="false">P16*E6</f>
        <v>4420</v>
      </c>
    </row>
    <row r="17" customFormat="false" ht="15" hidden="false" customHeight="true" outlineLevel="0" collapsed="false">
      <c r="A17" s="0"/>
    </row>
    <row r="18" customFormat="false" ht="15" hidden="false" customHeight="true" outlineLevel="0" collapsed="false">
      <c r="A18" s="14" t="s">
        <v>1</v>
      </c>
      <c r="B18" s="15" t="n">
        <v>46082</v>
      </c>
      <c r="C18" s="16" t="n">
        <v>46083</v>
      </c>
      <c r="D18" s="16" t="n">
        <v>46084</v>
      </c>
      <c r="E18" s="16" t="n">
        <v>46085</v>
      </c>
      <c r="F18" s="16" t="n">
        <v>46086</v>
      </c>
      <c r="G18" s="16" t="n">
        <v>46087</v>
      </c>
      <c r="H18" s="16" t="n">
        <v>46088</v>
      </c>
      <c r="I18" s="16" t="n">
        <v>46089</v>
      </c>
      <c r="J18" s="16" t="n">
        <v>46090</v>
      </c>
      <c r="K18" s="16" t="n">
        <v>46091</v>
      </c>
      <c r="L18" s="16" t="n">
        <v>46092</v>
      </c>
      <c r="M18" s="16" t="n">
        <v>46093</v>
      </c>
      <c r="N18" s="16" t="n">
        <v>46094</v>
      </c>
      <c r="O18" s="16" t="n">
        <v>46095</v>
      </c>
      <c r="P18" s="17" t="s">
        <v>19</v>
      </c>
    </row>
    <row r="19" customFormat="false" ht="15" hidden="false" customHeight="true" outlineLevel="0" collapsed="false">
      <c r="A19" s="3" t="s">
        <v>20</v>
      </c>
      <c r="B19" s="18" t="n">
        <v>300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</row>
    <row r="20" customFormat="false" ht="15" hidden="false" customHeight="true" outlineLevel="0" collapsed="false">
      <c r="A20" s="3" t="s">
        <v>21</v>
      </c>
      <c r="B20" s="7" t="n">
        <v>50</v>
      </c>
      <c r="C20" s="7" t="n">
        <v>50</v>
      </c>
      <c r="D20" s="7" t="n">
        <v>50</v>
      </c>
      <c r="E20" s="7" t="n">
        <v>50</v>
      </c>
      <c r="F20" s="7" t="n">
        <v>50</v>
      </c>
      <c r="G20" s="7" t="n">
        <v>50</v>
      </c>
      <c r="H20" s="7" t="n">
        <v>50</v>
      </c>
      <c r="I20" s="7" t="n">
        <v>50</v>
      </c>
      <c r="J20" s="7" t="n">
        <v>50</v>
      </c>
      <c r="K20" s="7" t="n">
        <v>50</v>
      </c>
      <c r="L20" s="7" t="n">
        <v>50</v>
      </c>
      <c r="M20" s="7" t="n">
        <v>50</v>
      </c>
      <c r="N20" s="7" t="n">
        <v>50</v>
      </c>
      <c r="O20" s="7" t="n">
        <v>50</v>
      </c>
      <c r="P20" s="17" t="n">
        <f aca="false">SUM(C20:O20)</f>
        <v>650</v>
      </c>
    </row>
    <row r="21" customFormat="false" ht="15" hidden="false" customHeight="true" outlineLevel="0" collapsed="false">
      <c r="A21" s="3" t="s">
        <v>22</v>
      </c>
      <c r="B21" s="7"/>
      <c r="C21" s="7" t="n">
        <v>72</v>
      </c>
      <c r="D21" s="7"/>
      <c r="E21" s="7" t="n">
        <v>72</v>
      </c>
      <c r="F21" s="7"/>
      <c r="G21" s="7" t="n">
        <v>72</v>
      </c>
      <c r="H21" s="7"/>
      <c r="I21" s="7" t="n">
        <v>144</v>
      </c>
      <c r="J21" s="7"/>
      <c r="K21" s="7" t="n">
        <v>144</v>
      </c>
      <c r="L21" s="7" t="n">
        <v>60</v>
      </c>
      <c r="M21" s="7"/>
      <c r="N21" s="7"/>
      <c r="O21" s="7" t="n">
        <v>72</v>
      </c>
      <c r="P21" s="17" t="n">
        <f aca="false">SUM(C21:O21)</f>
        <v>636</v>
      </c>
    </row>
    <row r="22" customFormat="false" ht="15" hidden="false" customHeight="true" outlineLevel="0" collapsed="false">
      <c r="A22" s="14" t="s">
        <v>23</v>
      </c>
      <c r="B22" s="19" t="n">
        <f aca="false">B19-B20+B21</f>
        <v>250</v>
      </c>
      <c r="C22" s="10" t="n">
        <f aca="false">B22-C20+C21</f>
        <v>272</v>
      </c>
      <c r="D22" s="10" t="n">
        <f aca="false">C22-D20+D21</f>
        <v>222</v>
      </c>
      <c r="E22" s="10" t="n">
        <f aca="false">D22-E20+E21</f>
        <v>244</v>
      </c>
      <c r="F22" s="10" t="n">
        <f aca="false">E22-F20+F21</f>
        <v>194</v>
      </c>
      <c r="G22" s="10" t="n">
        <f aca="false">F22-G20+G21</f>
        <v>216</v>
      </c>
      <c r="H22" s="10" t="n">
        <f aca="false">G22-H20+H21</f>
        <v>166</v>
      </c>
      <c r="I22" s="10" t="n">
        <f aca="false">H22-I20+I21</f>
        <v>260</v>
      </c>
      <c r="J22" s="10" t="n">
        <f aca="false">I22-J20+J21</f>
        <v>210</v>
      </c>
      <c r="K22" s="10" t="n">
        <f aca="false">J22-K20+K21</f>
        <v>304</v>
      </c>
      <c r="L22" s="10" t="n">
        <f aca="false">K22-L20+L21</f>
        <v>314</v>
      </c>
      <c r="M22" s="10" t="n">
        <f aca="false">L22-M20+M21</f>
        <v>264</v>
      </c>
      <c r="N22" s="10" t="n">
        <f aca="false">M22-N20+N21</f>
        <v>214</v>
      </c>
      <c r="O22" s="10" t="n">
        <f aca="false">N22-O20+O21</f>
        <v>236</v>
      </c>
      <c r="P22" s="17" t="n">
        <f aca="false">SUM(C22:O22)</f>
        <v>3116</v>
      </c>
      <c r="Q22" s="2" t="n">
        <f aca="false">P22*I6</f>
        <v>15580</v>
      </c>
    </row>
    <row r="24" customFormat="false" ht="15" hidden="false" customHeight="true" outlineLevel="0" collapsed="false">
      <c r="A24" s="14" t="s">
        <v>2</v>
      </c>
      <c r="B24" s="15" t="n">
        <v>46082</v>
      </c>
      <c r="C24" s="16" t="n">
        <v>46083</v>
      </c>
      <c r="D24" s="16" t="n">
        <v>46084</v>
      </c>
      <c r="E24" s="16" t="n">
        <v>46085</v>
      </c>
      <c r="F24" s="16" t="n">
        <v>46086</v>
      </c>
      <c r="G24" s="16" t="n">
        <v>46087</v>
      </c>
      <c r="H24" s="16" t="n">
        <v>46088</v>
      </c>
      <c r="I24" s="16" t="n">
        <v>46089</v>
      </c>
      <c r="J24" s="16" t="n">
        <v>46090</v>
      </c>
      <c r="K24" s="16" t="n">
        <v>46091</v>
      </c>
      <c r="L24" s="16" t="n">
        <v>46092</v>
      </c>
      <c r="M24" s="16" t="n">
        <v>46093</v>
      </c>
      <c r="N24" s="16" t="n">
        <v>46094</v>
      </c>
      <c r="O24" s="16" t="n">
        <v>46095</v>
      </c>
      <c r="P24" s="17" t="s">
        <v>19</v>
      </c>
    </row>
    <row r="25" customFormat="false" ht="15" hidden="false" customHeight="true" outlineLevel="0" collapsed="false">
      <c r="A25" s="3" t="s">
        <v>20</v>
      </c>
      <c r="B25" s="18" t="n">
        <v>120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</row>
    <row r="26" customFormat="false" ht="15" hidden="false" customHeight="true" outlineLevel="0" collapsed="false">
      <c r="A26" s="3" t="s">
        <v>21</v>
      </c>
      <c r="B26" s="7" t="n">
        <v>30</v>
      </c>
      <c r="C26" s="7" t="n">
        <v>30</v>
      </c>
      <c r="D26" s="7" t="n">
        <v>30</v>
      </c>
      <c r="E26" s="7" t="n">
        <v>30</v>
      </c>
      <c r="F26" s="7" t="n">
        <v>30</v>
      </c>
      <c r="G26" s="7" t="n">
        <v>30</v>
      </c>
      <c r="H26" s="7" t="n">
        <v>30</v>
      </c>
      <c r="I26" s="7" t="n">
        <v>30</v>
      </c>
      <c r="J26" s="7" t="n">
        <v>30</v>
      </c>
      <c r="K26" s="7" t="n">
        <v>30</v>
      </c>
      <c r="L26" s="7" t="n">
        <v>30</v>
      </c>
      <c r="M26" s="7" t="n">
        <v>30</v>
      </c>
      <c r="N26" s="7" t="n">
        <v>30</v>
      </c>
      <c r="O26" s="7" t="n">
        <v>30</v>
      </c>
      <c r="P26" s="17" t="n">
        <f aca="false">SUM(C26:O26)</f>
        <v>390</v>
      </c>
    </row>
    <row r="27" customFormat="false" ht="15" hidden="false" customHeight="true" outlineLevel="0" collapsed="false">
      <c r="A27" s="3" t="s">
        <v>22</v>
      </c>
      <c r="B27" s="7"/>
      <c r="C27" s="7"/>
      <c r="D27" s="7" t="n">
        <v>36</v>
      </c>
      <c r="E27" s="7" t="n">
        <v>36</v>
      </c>
      <c r="F27" s="7" t="n">
        <v>36</v>
      </c>
      <c r="G27" s="7" t="n">
        <v>36</v>
      </c>
      <c r="H27" s="7"/>
      <c r="I27" s="7" t="n">
        <v>36</v>
      </c>
      <c r="J27" s="7" t="n">
        <v>36</v>
      </c>
      <c r="K27" s="7" t="n">
        <v>108</v>
      </c>
      <c r="L27" s="7"/>
      <c r="M27" s="7"/>
      <c r="N27" s="7" t="n">
        <v>36</v>
      </c>
      <c r="O27" s="7"/>
      <c r="P27" s="17" t="n">
        <f aca="false">SUM(C27:O27)</f>
        <v>360</v>
      </c>
    </row>
    <row r="28" customFormat="false" ht="15" hidden="false" customHeight="true" outlineLevel="0" collapsed="false">
      <c r="A28" s="14" t="s">
        <v>23</v>
      </c>
      <c r="B28" s="19" t="n">
        <f aca="false">B25-B26+B27</f>
        <v>90</v>
      </c>
      <c r="C28" s="10" t="n">
        <f aca="false">B28-C26+C27</f>
        <v>60</v>
      </c>
      <c r="D28" s="10" t="n">
        <f aca="false">C28-D26+D27</f>
        <v>66</v>
      </c>
      <c r="E28" s="10" t="n">
        <f aca="false">D28-E26+E27</f>
        <v>72</v>
      </c>
      <c r="F28" s="10" t="n">
        <f aca="false">E28-F26+F27</f>
        <v>78</v>
      </c>
      <c r="G28" s="10" t="n">
        <f aca="false">F28-G26+G27</f>
        <v>84</v>
      </c>
      <c r="H28" s="10" t="n">
        <f aca="false">G28-H26+H27</f>
        <v>54</v>
      </c>
      <c r="I28" s="10" t="n">
        <f aca="false">H28-I26+I27</f>
        <v>60</v>
      </c>
      <c r="J28" s="10" t="n">
        <f aca="false">I28-J26+J27</f>
        <v>66</v>
      </c>
      <c r="K28" s="10" t="n">
        <f aca="false">J28-K26+K27</f>
        <v>144</v>
      </c>
      <c r="L28" s="10" t="n">
        <f aca="false">K28-L26+L27</f>
        <v>114</v>
      </c>
      <c r="M28" s="10" t="n">
        <f aca="false">L28-M26+M27</f>
        <v>84</v>
      </c>
      <c r="N28" s="10" t="n">
        <f aca="false">M28-N26+N27</f>
        <v>90</v>
      </c>
      <c r="O28" s="10" t="n">
        <f aca="false">N28-O26+O27</f>
        <v>60</v>
      </c>
      <c r="P28" s="17" t="n">
        <f aca="false">SUM(C28:O28)</f>
        <v>1032</v>
      </c>
      <c r="Q28" s="2" t="n">
        <f aca="false">P28*M6</f>
        <v>5160</v>
      </c>
    </row>
    <row r="30" customFormat="false" ht="15" hidden="false" customHeight="true" outlineLevel="0" collapsed="false">
      <c r="A30" s="14" t="s">
        <v>19</v>
      </c>
      <c r="B30" s="15" t="n">
        <v>46082</v>
      </c>
      <c r="C30" s="16" t="n">
        <v>46083</v>
      </c>
      <c r="D30" s="16" t="n">
        <v>46084</v>
      </c>
      <c r="E30" s="16" t="n">
        <v>46085</v>
      </c>
      <c r="F30" s="16" t="n">
        <v>46086</v>
      </c>
      <c r="G30" s="16" t="n">
        <v>46087</v>
      </c>
      <c r="H30" s="16" t="n">
        <v>46088</v>
      </c>
      <c r="I30" s="16" t="n">
        <v>46089</v>
      </c>
      <c r="J30" s="16" t="n">
        <v>46090</v>
      </c>
      <c r="K30" s="16" t="n">
        <v>46091</v>
      </c>
      <c r="L30" s="16" t="n">
        <v>46092</v>
      </c>
      <c r="M30" s="16" t="n">
        <v>46093</v>
      </c>
      <c r="N30" s="16" t="n">
        <v>46094</v>
      </c>
      <c r="O30" s="16" t="n">
        <v>46095</v>
      </c>
      <c r="P30" s="17" t="s">
        <v>19</v>
      </c>
    </row>
    <row r="31" customFormat="false" ht="15" hidden="false" customHeight="true" outlineLevel="0" collapsed="false">
      <c r="A31" s="3" t="s">
        <v>22</v>
      </c>
      <c r="B31" s="7" t="n">
        <f aca="false">B15+B21+B27</f>
        <v>0</v>
      </c>
      <c r="C31" s="7" t="n">
        <f aca="false">C15+C21+C27</f>
        <v>72</v>
      </c>
      <c r="D31" s="7" t="n">
        <f aca="false">D15+D21+D27</f>
        <v>36</v>
      </c>
      <c r="E31" s="7" t="n">
        <f aca="false">E15+E21+E27</f>
        <v>168</v>
      </c>
      <c r="F31" s="7" t="n">
        <f aca="false">F15+F21+F27</f>
        <v>36</v>
      </c>
      <c r="G31" s="7" t="n">
        <f aca="false">G15+G21+G27</f>
        <v>108</v>
      </c>
      <c r="H31" s="7" t="n">
        <f aca="false">H15+H21+H27</f>
        <v>0</v>
      </c>
      <c r="I31" s="7" t="n">
        <f aca="false">I15+I21+I27</f>
        <v>180</v>
      </c>
      <c r="J31" s="7" t="n">
        <f aca="false">J15+J21+J27</f>
        <v>96</v>
      </c>
      <c r="K31" s="7" t="n">
        <f aca="false">K15+K21+K27</f>
        <v>252</v>
      </c>
      <c r="L31" s="7" t="n">
        <f aca="false">L15+L21+L27</f>
        <v>120</v>
      </c>
      <c r="M31" s="7" t="n">
        <f aca="false">M15+M21+M27</f>
        <v>0</v>
      </c>
      <c r="N31" s="7" t="n">
        <f aca="false">N15+N21+N27</f>
        <v>108</v>
      </c>
      <c r="O31" s="7" t="n">
        <f aca="false">O15+O21+O27</f>
        <v>72</v>
      </c>
      <c r="P31" s="17" t="n">
        <f aca="false">SUM(C31:O31)</f>
        <v>1248</v>
      </c>
    </row>
    <row r="32" customFormat="false" ht="15" hidden="false" customHeight="true" outlineLevel="0" collapsed="false">
      <c r="A32" s="3" t="s">
        <v>24</v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17" t="n">
        <f aca="false">SUM(C32:O32)</f>
        <v>0</v>
      </c>
      <c r="Q32" s="2" t="n">
        <f aca="false">P32*B2</f>
        <v>0</v>
      </c>
    </row>
    <row r="33" customFormat="false" ht="15" hidden="false" customHeight="true" outlineLevel="0" collapsed="false">
      <c r="A33" s="14" t="s">
        <v>25</v>
      </c>
      <c r="B33" s="19" t="n">
        <f aca="false">IF(B32=0,0,B31)</f>
        <v>0</v>
      </c>
      <c r="C33" s="19" t="n">
        <f aca="false">IF(C32=0,0,C31)</f>
        <v>0</v>
      </c>
      <c r="D33" s="19" t="n">
        <f aca="false">IF(D32=0,0,D31)</f>
        <v>0</v>
      </c>
      <c r="E33" s="19" t="n">
        <f aca="false">IF(E32=0,0,E31)</f>
        <v>0</v>
      </c>
      <c r="F33" s="19" t="n">
        <f aca="false">IF(F32=0,0,F31)</f>
        <v>0</v>
      </c>
      <c r="G33" s="19" t="n">
        <f aca="false">IF(G32=0,0,G31)</f>
        <v>0</v>
      </c>
      <c r="H33" s="19" t="n">
        <f aca="false">IF(H32=0,0,H31)</f>
        <v>0</v>
      </c>
      <c r="I33" s="19" t="n">
        <f aca="false">IF(I32=0,0,I31)</f>
        <v>0</v>
      </c>
      <c r="J33" s="19" t="n">
        <f aca="false">IF(J32=0,0,J31)</f>
        <v>0</v>
      </c>
      <c r="K33" s="19" t="n">
        <f aca="false">IF(K32=0,0,K31)</f>
        <v>0</v>
      </c>
      <c r="L33" s="19" t="n">
        <f aca="false">IF(L32=0,0,L31)</f>
        <v>0</v>
      </c>
      <c r="M33" s="19" t="n">
        <f aca="false">IF(M32=0,0,M31)</f>
        <v>0</v>
      </c>
      <c r="N33" s="19" t="n">
        <f aca="false">IF(N32=0,0,N31)</f>
        <v>0</v>
      </c>
      <c r="O33" s="19" t="n">
        <f aca="false">IF(O32=0,0,O31)</f>
        <v>0</v>
      </c>
      <c r="P33" s="17" t="n">
        <f aca="false">SUM(C33:O33)</f>
        <v>0</v>
      </c>
    </row>
    <row r="34" customFormat="false" ht="15" hidden="false" customHeight="true" outlineLevel="0" collapsed="false">
      <c r="A34" s="14" t="s">
        <v>26</v>
      </c>
      <c r="B34" s="20" t="n">
        <f aca="false">B31-B33</f>
        <v>0</v>
      </c>
      <c r="C34" s="20" t="n">
        <f aca="false">C31-C33</f>
        <v>72</v>
      </c>
      <c r="D34" s="20" t="n">
        <f aca="false">D31-D33</f>
        <v>36</v>
      </c>
      <c r="E34" s="20" t="n">
        <f aca="false">E31-E33</f>
        <v>168</v>
      </c>
      <c r="F34" s="20" t="n">
        <f aca="false">F31-F33</f>
        <v>36</v>
      </c>
      <c r="G34" s="20" t="n">
        <f aca="false">G31-G33</f>
        <v>108</v>
      </c>
      <c r="H34" s="20" t="n">
        <f aca="false">H31-H33</f>
        <v>0</v>
      </c>
      <c r="I34" s="20" t="n">
        <f aca="false">I31-I33</f>
        <v>180</v>
      </c>
      <c r="J34" s="20" t="n">
        <f aca="false">J31-J33</f>
        <v>96</v>
      </c>
      <c r="K34" s="20" t="n">
        <f aca="false">K31-K33</f>
        <v>252</v>
      </c>
      <c r="L34" s="20" t="n">
        <f aca="false">L31-L33</f>
        <v>120</v>
      </c>
      <c r="M34" s="20" t="n">
        <f aca="false">M31-M33</f>
        <v>0</v>
      </c>
      <c r="N34" s="20" t="n">
        <f aca="false">N31-N33</f>
        <v>108</v>
      </c>
      <c r="O34" s="20" t="n">
        <f aca="false">O31-O33</f>
        <v>72</v>
      </c>
      <c r="P34" s="17" t="n">
        <f aca="false">SUM(C34:O34)</f>
        <v>1248</v>
      </c>
      <c r="Q34" s="2" t="n">
        <f aca="false">P34*E7</f>
        <v>187200</v>
      </c>
    </row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2" min="2" style="0" width="15.4"/>
  </cols>
  <sheetData>
    <row r="3" customFormat="false" ht="13.8" hidden="false" customHeight="false" outlineLevel="0" collapsed="false">
      <c r="A3" s="0" t="s">
        <v>27</v>
      </c>
      <c r="C3" s="21" t="n">
        <v>46023</v>
      </c>
      <c r="D3" s="21" t="n">
        <v>46024</v>
      </c>
      <c r="E3" s="21" t="n">
        <v>46025</v>
      </c>
      <c r="F3" s="21" t="n">
        <v>46026</v>
      </c>
      <c r="G3" s="21" t="n">
        <v>46027</v>
      </c>
      <c r="H3" s="21" t="n">
        <v>46028</v>
      </c>
    </row>
    <row r="4" customFormat="false" ht="13.8" hidden="false" customHeight="false" outlineLevel="0" collapsed="false">
      <c r="B4" s="0" t="s">
        <v>28</v>
      </c>
      <c r="C4" s="22" t="n">
        <v>500</v>
      </c>
      <c r="D4" s="21"/>
      <c r="E4" s="21"/>
      <c r="F4" s="21"/>
      <c r="G4" s="21"/>
      <c r="H4" s="21"/>
    </row>
    <row r="5" customFormat="false" ht="13.8" hidden="false" customHeight="false" outlineLevel="0" collapsed="false">
      <c r="B5" s="0" t="s">
        <v>29</v>
      </c>
      <c r="C5" s="0" t="n">
        <v>0</v>
      </c>
      <c r="D5" s="0" t="n">
        <v>0</v>
      </c>
      <c r="E5" s="0" t="n">
        <v>1000</v>
      </c>
      <c r="F5" s="0" t="n">
        <v>0</v>
      </c>
      <c r="G5" s="0" t="n">
        <v>0</v>
      </c>
      <c r="H5" s="0" t="n">
        <v>0</v>
      </c>
    </row>
    <row r="6" customFormat="false" ht="13.8" hidden="false" customHeight="false" outlineLevel="0" collapsed="false">
      <c r="B6" s="0" t="s">
        <v>30</v>
      </c>
      <c r="C6" s="0" t="n">
        <f aca="false">C4</f>
        <v>500</v>
      </c>
      <c r="D6" s="0" t="n">
        <f aca="false">C6+C5</f>
        <v>500</v>
      </c>
      <c r="E6" s="0" t="n">
        <f aca="false">D6+D5</f>
        <v>500</v>
      </c>
      <c r="F6" s="0" t="n">
        <f aca="false">E6+E5</f>
        <v>1500</v>
      </c>
      <c r="G6" s="0" t="n">
        <f aca="false">F6+F5</f>
        <v>1500</v>
      </c>
      <c r="H6" s="0" t="n">
        <f aca="false">G6+G5</f>
        <v>1500</v>
      </c>
    </row>
    <row r="8" customFormat="false" ht="13.8" hidden="false" customHeight="false" outlineLevel="0" collapsed="false">
      <c r="A8" s="0" t="s">
        <v>31</v>
      </c>
      <c r="B8" s="0" t="s">
        <v>32</v>
      </c>
      <c r="C8" s="0" t="n">
        <v>0</v>
      </c>
      <c r="D8" s="0" t="n">
        <v>0</v>
      </c>
      <c r="E8" s="0" t="n">
        <v>80</v>
      </c>
      <c r="F8" s="0" t="n">
        <v>0</v>
      </c>
      <c r="G8" s="0" t="n">
        <v>0</v>
      </c>
      <c r="H8" s="0" t="n">
        <v>60</v>
      </c>
    </row>
    <row r="9" customFormat="false" ht="13.8" hidden="false" customHeight="false" outlineLevel="0" collapsed="false">
      <c r="B9" s="0" t="s">
        <v>33</v>
      </c>
      <c r="C9" s="0" t="n">
        <v>0</v>
      </c>
      <c r="D9" s="0" t="n">
        <v>80</v>
      </c>
      <c r="E9" s="0" t="n">
        <v>0</v>
      </c>
      <c r="F9" s="0" t="n">
        <v>0</v>
      </c>
      <c r="G9" s="0" t="n">
        <v>60</v>
      </c>
      <c r="H9" s="0" t="n">
        <v>0</v>
      </c>
    </row>
    <row r="11" customFormat="false" ht="13.8" hidden="false" customHeight="false" outlineLevel="0" collapsed="false">
      <c r="A11" s="0" t="s">
        <v>34</v>
      </c>
      <c r="B11" s="0" t="s">
        <v>32</v>
      </c>
      <c r="C11" s="0" t="n">
        <v>0</v>
      </c>
      <c r="D11" s="0" t="n">
        <v>0</v>
      </c>
      <c r="E11" s="0" t="n">
        <v>0</v>
      </c>
      <c r="F11" s="0" t="n">
        <v>220</v>
      </c>
      <c r="G11" s="0" t="n">
        <v>0</v>
      </c>
      <c r="H11" s="0" t="n">
        <v>300</v>
      </c>
    </row>
    <row r="12" customFormat="false" ht="13.8" hidden="false" customHeight="false" outlineLevel="0" collapsed="false">
      <c r="B12" s="0" t="s">
        <v>33</v>
      </c>
      <c r="C12" s="0" t="n">
        <v>0</v>
      </c>
      <c r="D12" s="0" t="n">
        <v>0</v>
      </c>
      <c r="E12" s="0" t="n">
        <v>220</v>
      </c>
      <c r="F12" s="0" t="n">
        <v>0</v>
      </c>
      <c r="G12" s="0" t="n">
        <v>300</v>
      </c>
      <c r="H12" s="0" t="n">
        <v>0</v>
      </c>
    </row>
    <row r="13" customFormat="false" ht="13.8" hidden="false" customHeight="false" outlineLevel="0" collapsed="false">
      <c r="B13" s="0" t="s">
        <v>35</v>
      </c>
      <c r="C13" s="0" t="n">
        <f aca="false">C12</f>
        <v>0</v>
      </c>
      <c r="D13" s="0" t="n">
        <f aca="false">C13+D12</f>
        <v>0</v>
      </c>
      <c r="E13" s="0" t="n">
        <f aca="false">D13+E12</f>
        <v>220</v>
      </c>
      <c r="F13" s="0" t="n">
        <f aca="false">E13+F12</f>
        <v>220</v>
      </c>
      <c r="G13" s="0" t="n">
        <f aca="false">F13+G12</f>
        <v>520</v>
      </c>
      <c r="H13" s="0" t="n">
        <f aca="false">G13+H12</f>
        <v>520</v>
      </c>
    </row>
    <row r="15" customFormat="false" ht="14" hidden="false" customHeight="false" outlineLevel="0" collapsed="false">
      <c r="A15" s="0" t="s">
        <v>36</v>
      </c>
      <c r="C15" s="0" t="n">
        <f aca="false">C6-C13</f>
        <v>500</v>
      </c>
      <c r="D15" s="0" t="n">
        <f aca="false">D6-D13</f>
        <v>500</v>
      </c>
      <c r="E15" s="0" t="n">
        <f aca="false">E6-E13</f>
        <v>280</v>
      </c>
      <c r="F15" s="0" t="n">
        <f aca="false">F6-F13</f>
        <v>1280</v>
      </c>
      <c r="G15" s="0" t="n">
        <f aca="false">G6-G13</f>
        <v>980</v>
      </c>
      <c r="H15" s="0" t="n">
        <f aca="false">H6-H13</f>
        <v>980</v>
      </c>
    </row>
  </sheetData>
  <printOptions headings="false" gridLines="false" gridLinesSet="true" horizontalCentered="false" verticalCentered="false"/>
  <pageMargins left="0.7875" right="0.7875" top="1.03888888888889" bottom="1.03888888888889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&amp;C&amp;"Calibri,標準"&amp;A</oddHeader>
    <oddFooter>&amp;C&amp;"Calibri,標準"ページ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後藤芳民</dc:creator>
  <dc:description/>
  <dc:language>ja-JP</dc:language>
  <cp:lastModifiedBy/>
  <dcterms:modified xsi:type="dcterms:W3CDTF">2026-04-18T17:53:41Z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